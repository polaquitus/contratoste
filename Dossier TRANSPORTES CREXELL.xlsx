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otalworkplace.sharepoint.com/sites/TEPAR-GO-CC/D3B/A-DISTRICT NQN/A1- CONTRACTS/4600009282 - Tte Crexell - Alquiler de Grúas y Camiones/"/>
    </mc:Choice>
  </mc:AlternateContent>
  <xr:revisionPtr revIDLastSave="452" documentId="6_{CA700593-4EE9-4C68-AB97-18FF5000104F}" xr6:coauthVersionLast="47" xr6:coauthVersionMax="47" xr10:uidLastSave="{80F3D6EF-CC54-44B4-8363-4DFD3DE139A7}"/>
  <bookViews>
    <workbookView xWindow="-120" yWindow="-120" windowWidth="29040" windowHeight="15720" xr2:uid="{09E41488-7DC3-48B7-BB61-681F56AA64AC}"/>
  </bookViews>
  <sheets>
    <sheet name="Sheet1" sheetId="1" r:id="rId1"/>
    <sheet name="Hoja1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I13" i="1" s="1"/>
  <c r="I28" i="1"/>
  <c r="K13" i="1" l="1"/>
  <c r="K12" i="1"/>
  <c r="K11" i="1"/>
  <c r="I14" i="1" l="1"/>
  <c r="K14" i="1" s="1"/>
  <c r="I15" i="1"/>
  <c r="K15" i="1" s="1"/>
  <c r="S15" i="1"/>
  <c r="S16" i="1" s="1"/>
  <c r="O15" i="1"/>
  <c r="O16" i="1" s="1"/>
  <c r="B3" i="2"/>
</calcChain>
</file>

<file path=xl/sharedStrings.xml><?xml version="1.0" encoding="utf-8"?>
<sst xmlns="http://schemas.openxmlformats.org/spreadsheetml/2006/main" count="221" uniqueCount="150">
  <si>
    <t>DUET</t>
  </si>
  <si>
    <t>Amendment</t>
  </si>
  <si>
    <t>Contractor</t>
  </si>
  <si>
    <t>Contract Manager</t>
  </si>
  <si>
    <t>Service</t>
  </si>
  <si>
    <t>Facundo Alaniz</t>
  </si>
  <si>
    <t>Requirement</t>
  </si>
  <si>
    <t>Evaluation</t>
  </si>
  <si>
    <t>check</t>
  </si>
  <si>
    <t>Due Dates</t>
  </si>
  <si>
    <t>Days to DD</t>
  </si>
  <si>
    <t>Administrator</t>
  </si>
  <si>
    <t>PR # (if applies)</t>
  </si>
  <si>
    <t>Metier</t>
  </si>
  <si>
    <t>TO/C&amp;W</t>
  </si>
  <si>
    <t>DD / Pre-risk</t>
  </si>
  <si>
    <t>Roberto Sambuchi</t>
  </si>
  <si>
    <t>UTE</t>
  </si>
  <si>
    <t>APE + SR</t>
  </si>
  <si>
    <t>Contract #</t>
  </si>
  <si>
    <t>E-valuarte</t>
  </si>
  <si>
    <t>Validity start</t>
  </si>
  <si>
    <t>Validity end</t>
  </si>
  <si>
    <t>Sequana</t>
  </si>
  <si>
    <t>AVE</t>
  </si>
  <si>
    <t>CC</t>
  </si>
  <si>
    <t>Polynomial formula</t>
  </si>
  <si>
    <t>New end date</t>
  </si>
  <si>
    <t>Sustainability</t>
  </si>
  <si>
    <t>AVE 1</t>
  </si>
  <si>
    <t>USD</t>
  </si>
  <si>
    <t>N/A</t>
  </si>
  <si>
    <t>Derogations</t>
  </si>
  <si>
    <t>(Only for Contracts)</t>
  </si>
  <si>
    <t>AVE 2</t>
  </si>
  <si>
    <t>If CC is not required for this requirement, please complete the following info:</t>
  </si>
  <si>
    <t>Header value</t>
  </si>
  <si>
    <t>USD eq</t>
  </si>
  <si>
    <t>AVE 3</t>
  </si>
  <si>
    <t xml:space="preserve">E-sourcing #  </t>
  </si>
  <si>
    <t>Remaining value</t>
  </si>
  <si>
    <t>AVE 4</t>
  </si>
  <si>
    <t xml:space="preserve">Participants </t>
  </si>
  <si>
    <t>AVE (if applies)</t>
  </si>
  <si>
    <t>AVE 5</t>
  </si>
  <si>
    <t>Offers received</t>
  </si>
  <si>
    <t>New header value</t>
  </si>
  <si>
    <t>AVE 6</t>
  </si>
  <si>
    <t>Simultaneos opening</t>
  </si>
  <si>
    <t>YES</t>
  </si>
  <si>
    <t xml:space="preserve">Best price </t>
  </si>
  <si>
    <t>New remaining value</t>
  </si>
  <si>
    <t>Total</t>
  </si>
  <si>
    <t>Justification if it is not the best offer</t>
  </si>
  <si>
    <t>Exchange rate</t>
  </si>
  <si>
    <t>Contracting Strategy</t>
  </si>
  <si>
    <t>Signatures</t>
  </si>
  <si>
    <t>Strategy</t>
  </si>
  <si>
    <t>AME + AVE</t>
  </si>
  <si>
    <t>Lead Buyer</t>
  </si>
  <si>
    <t>Monto &gt; 150 kusd</t>
  </si>
  <si>
    <t>Head of Domain</t>
  </si>
  <si>
    <t>Approved</t>
  </si>
  <si>
    <t>Faxes sent</t>
  </si>
  <si>
    <t>C&amp;P Manager</t>
  </si>
  <si>
    <t xml:space="preserve">Coments: </t>
  </si>
  <si>
    <t>Fecha de hoy</t>
  </si>
  <si>
    <t>Monto &lt; 250 kusd</t>
  </si>
  <si>
    <t>Resp. Cto</t>
  </si>
  <si>
    <t>Administradores</t>
  </si>
  <si>
    <t>New PO</t>
  </si>
  <si>
    <t>Monto &gt; 250 kusd</t>
  </si>
  <si>
    <t>Purchasing Strategy</t>
  </si>
  <si>
    <t>Supplier</t>
  </si>
  <si>
    <t>Pierre Leclerc</t>
  </si>
  <si>
    <t>APE</t>
  </si>
  <si>
    <t>New Contract</t>
  </si>
  <si>
    <t>Monto &lt; 75 kusd</t>
  </si>
  <si>
    <t>Leandro Kolton</t>
  </si>
  <si>
    <t>SR</t>
  </si>
  <si>
    <t>TO/LOG</t>
  </si>
  <si>
    <t>Monto &lt; 100 kusd</t>
  </si>
  <si>
    <t>Sol Portillo</t>
  </si>
  <si>
    <t>LEsc</t>
  </si>
  <si>
    <t>Monto &gt; 75 kusd</t>
  </si>
  <si>
    <t>PO #</t>
  </si>
  <si>
    <t>Lucas Martin</t>
  </si>
  <si>
    <t>Sebastian Perez P.</t>
  </si>
  <si>
    <t>CMA1</t>
  </si>
  <si>
    <t>AVE + Amendment</t>
  </si>
  <si>
    <t>Monto &gt; 100 kusd</t>
  </si>
  <si>
    <t>EUR</t>
  </si>
  <si>
    <t>Lucas Vasallo</t>
  </si>
  <si>
    <t>Fenix</t>
  </si>
  <si>
    <t>Regularization</t>
  </si>
  <si>
    <t>Monto &lt; 150 kusd</t>
  </si>
  <si>
    <t>ARS</t>
  </si>
  <si>
    <t>Anahi Martin</t>
  </si>
  <si>
    <t>PO value</t>
  </si>
  <si>
    <t>Rodrigo Zrain</t>
  </si>
  <si>
    <t>Material</t>
  </si>
  <si>
    <t>Menor Oferta</t>
  </si>
  <si>
    <t>Buyer</t>
  </si>
  <si>
    <t>CFT</t>
  </si>
  <si>
    <t>Mejor oferta</t>
  </si>
  <si>
    <t>Contracts Engineer</t>
  </si>
  <si>
    <t>NO</t>
  </si>
  <si>
    <t>RFQ</t>
  </si>
  <si>
    <t>Contracts Leader</t>
  </si>
  <si>
    <t>RFI</t>
  </si>
  <si>
    <t>DA</t>
  </si>
  <si>
    <t>REG</t>
  </si>
  <si>
    <t>AME</t>
  </si>
  <si>
    <t>Rejected</t>
  </si>
  <si>
    <t>-</t>
  </si>
  <si>
    <t>In process</t>
  </si>
  <si>
    <t xml:space="preserve">Doc2663844108 </t>
  </si>
  <si>
    <t>ALS/COAMTRA/RIVAS/SPUSA/TECMACO/CREXELL/DOLORES PARRA</t>
  </si>
  <si>
    <t>ALS</t>
  </si>
  <si>
    <t>COAMTRA</t>
  </si>
  <si>
    <t>TRANSPORTES RIVAS</t>
  </si>
  <si>
    <t>TECMACO</t>
  </si>
  <si>
    <t>TRANSPORTES CREXELL</t>
  </si>
  <si>
    <t>Alvarez Bárbara</t>
  </si>
  <si>
    <t>Correa/Nasca</t>
  </si>
  <si>
    <t>Non-Qualified</t>
  </si>
  <si>
    <t>Servicio de alquiler de gruas y camiones On Call</t>
  </si>
  <si>
    <t>Item</t>
  </si>
  <si>
    <t>Oferente</t>
  </si>
  <si>
    <t>DOLORES PARRA</t>
  </si>
  <si>
    <t>RIVAS</t>
  </si>
  <si>
    <t>SPUSA</t>
  </si>
  <si>
    <t>CREXELL</t>
  </si>
  <si>
    <t>9.2/10</t>
  </si>
  <si>
    <t>8.8.10</t>
  </si>
  <si>
    <t>8.5/10</t>
  </si>
  <si>
    <t>7.5/10</t>
  </si>
  <si>
    <t>7.0/10</t>
  </si>
  <si>
    <t>5.0/10</t>
  </si>
  <si>
    <t>3.0/10</t>
  </si>
  <si>
    <t>Puntaje</t>
  </si>
  <si>
    <t>Estado</t>
  </si>
  <si>
    <t>APROBADO</t>
  </si>
  <si>
    <t>NO APROBADO</t>
  </si>
  <si>
    <t>28/02/2029</t>
  </si>
  <si>
    <t>AVE N°1</t>
  </si>
  <si>
    <t>Certificado N°1</t>
  </si>
  <si>
    <t>Orden de llamado</t>
  </si>
  <si>
    <t>Consumos marzo y abril 2026</t>
  </si>
  <si>
    <t>Negativa de COAMTRA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</si>
</sst>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days&quot;"/>
    <numFmt numFmtId="165" formatCode="&quot;$&quot;#,##0.00"/>
    <numFmt numFmtId="166" formatCode="#,##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8"/>
      <color rgb="FF000000"/>
      <name val="Segoe UI"/>
      <family val="2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4.9989318521683403E-2"/>
      </top>
      <bottom style="thin">
        <color theme="0"/>
      </bottom>
      <diagonal/>
    </border>
    <border>
      <left/>
      <right style="thin">
        <color theme="0" tint="-4.9989318521683403E-2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 tint="-4.9989318521683403E-2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4.9989318521683403E-2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/>
      <top style="thin">
        <color theme="0"/>
      </top>
      <bottom/>
      <diagonal/>
    </border>
    <border>
      <left style="thin">
        <color theme="0"/>
      </left>
      <right style="thin">
        <color theme="0" tint="-4.9989318521683403E-2"/>
      </right>
      <top/>
      <bottom/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/>
      </bottom>
      <diagonal/>
    </border>
    <border>
      <left/>
      <right style="thin">
        <color theme="0" tint="-4.9989318521683403E-2"/>
      </right>
      <top style="thin">
        <color theme="1" tint="0.49998474074526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 tint="0.499984740745262"/>
      </top>
      <bottom style="thin">
        <color theme="0" tint="-4.9989318521683403E-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theme="0"/>
      </bottom>
      <diagonal/>
    </border>
    <border>
      <left/>
      <right style="thin">
        <color theme="1" tint="0.499984740745262"/>
      </right>
      <top/>
      <bottom style="thin">
        <color theme="0"/>
      </bottom>
      <diagonal/>
    </border>
    <border>
      <left/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/>
      </top>
      <bottom style="thin">
        <color theme="1" tint="0.499984740745262"/>
      </bottom>
      <diagonal/>
    </border>
    <border>
      <left style="thin">
        <color theme="0" tint="-4.9989318521683403E-2"/>
      </left>
      <right style="thin">
        <color theme="1" tint="0.499984740745262"/>
      </right>
      <top style="thin">
        <color theme="1" tint="0.49998474074526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 tint="0.499984740745262"/>
      </right>
      <top/>
      <bottom style="thin">
        <color theme="0" tint="-4.9989318521683403E-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0" tint="-4.9989318521683403E-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0" tint="-4.9989318521683403E-2"/>
      </left>
      <right style="thin">
        <color theme="1" tint="0.499984740745262"/>
      </right>
      <top/>
      <bottom/>
      <diagonal/>
    </border>
    <border>
      <left style="thin">
        <color theme="0" tint="-4.9989318521683403E-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/>
      <top style="thin">
        <color theme="0" tint="-4.9989318521683403E-2"/>
      </top>
      <bottom/>
      <diagonal/>
    </border>
    <border>
      <left/>
      <right style="thin">
        <color theme="0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/>
      </bottom>
      <diagonal/>
    </border>
    <border>
      <left/>
      <right/>
      <top style="thin">
        <color theme="0" tint="-4.9989318521683403E-2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left" indent="2"/>
    </xf>
    <xf numFmtId="14" fontId="0" fillId="0" borderId="0" xfId="0" applyNumberFormat="1"/>
    <xf numFmtId="0" fontId="1" fillId="3" borderId="0" xfId="0" applyFont="1" applyFill="1"/>
    <xf numFmtId="14" fontId="0" fillId="3" borderId="0" xfId="0" applyNumberFormat="1" applyFill="1"/>
    <xf numFmtId="0" fontId="4" fillId="2" borderId="22" xfId="0" applyFont="1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0" xfId="0" applyFill="1"/>
    <xf numFmtId="0" fontId="0" fillId="2" borderId="25" xfId="0" applyFill="1" applyBorder="1"/>
    <xf numFmtId="0" fontId="0" fillId="3" borderId="0" xfId="0" applyFill="1" applyAlignment="1">
      <alignment vertical="center"/>
    </xf>
    <xf numFmtId="0" fontId="4" fillId="2" borderId="17" xfId="0" applyFont="1" applyFill="1" applyBorder="1"/>
    <xf numFmtId="0" fontId="4" fillId="2" borderId="19" xfId="0" applyFont="1" applyFill="1" applyBorder="1"/>
    <xf numFmtId="0" fontId="0" fillId="2" borderId="18" xfId="0" applyFill="1" applyBorder="1"/>
    <xf numFmtId="0" fontId="0" fillId="2" borderId="27" xfId="0" applyFill="1" applyBorder="1"/>
    <xf numFmtId="0" fontId="4" fillId="2" borderId="7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right"/>
    </xf>
    <xf numFmtId="0" fontId="4" fillId="3" borderId="4" xfId="0" applyFont="1" applyFill="1" applyBorder="1"/>
    <xf numFmtId="0" fontId="4" fillId="3" borderId="9" xfId="0" applyFont="1" applyFill="1" applyBorder="1"/>
    <xf numFmtId="3" fontId="4" fillId="3" borderId="6" xfId="0" applyNumberFormat="1" applyFont="1" applyFill="1" applyBorder="1" applyAlignment="1">
      <alignment horizontal="right"/>
    </xf>
    <xf numFmtId="0" fontId="4" fillId="3" borderId="6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right"/>
    </xf>
    <xf numFmtId="0" fontId="4" fillId="2" borderId="14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0" fontId="4" fillId="2" borderId="21" xfId="0" applyFont="1" applyFill="1" applyBorder="1"/>
    <xf numFmtId="0" fontId="4" fillId="2" borderId="29" xfId="0" applyFont="1" applyFill="1" applyBorder="1" applyAlignment="1">
      <alignment horizontal="center"/>
    </xf>
    <xf numFmtId="3" fontId="4" fillId="3" borderId="30" xfId="0" applyNumberFormat="1" applyFont="1" applyFill="1" applyBorder="1" applyAlignment="1">
      <alignment horizontal="right"/>
    </xf>
    <xf numFmtId="0" fontId="4" fillId="3" borderId="31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3" borderId="34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3" fontId="4" fillId="3" borderId="9" xfId="0" applyNumberFormat="1" applyFont="1" applyFill="1" applyBorder="1" applyAlignment="1">
      <alignment horizontal="right"/>
    </xf>
    <xf numFmtId="0" fontId="4" fillId="3" borderId="42" xfId="0" applyFont="1" applyFill="1" applyBorder="1" applyAlignment="1">
      <alignment horizontal="center"/>
    </xf>
    <xf numFmtId="3" fontId="6" fillId="3" borderId="41" xfId="0" applyNumberFormat="1" applyFont="1" applyFill="1" applyBorder="1"/>
    <xf numFmtId="0" fontId="6" fillId="3" borderId="4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6" fillId="3" borderId="45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left" indent="3"/>
    </xf>
    <xf numFmtId="0" fontId="2" fillId="2" borderId="22" xfId="0" applyFont="1" applyFill="1" applyBorder="1"/>
    <xf numFmtId="0" fontId="7" fillId="3" borderId="6" xfId="0" applyFont="1" applyFill="1" applyBorder="1" applyAlignment="1">
      <alignment horizontal="center"/>
    </xf>
    <xf numFmtId="3" fontId="8" fillId="3" borderId="6" xfId="0" applyNumberFormat="1" applyFont="1" applyFill="1" applyBorder="1" applyAlignment="1">
      <alignment horizontal="right"/>
    </xf>
    <xf numFmtId="0" fontId="8" fillId="3" borderId="6" xfId="0" applyFont="1" applyFill="1" applyBorder="1" applyAlignment="1">
      <alignment horizontal="center"/>
    </xf>
    <xf numFmtId="0" fontId="9" fillId="3" borderId="0" xfId="0" applyFont="1" applyFill="1"/>
    <xf numFmtId="0" fontId="2" fillId="3" borderId="1" xfId="0" applyFont="1" applyFill="1" applyBorder="1" applyAlignment="1">
      <alignment horizontal="center"/>
    </xf>
    <xf numFmtId="14" fontId="2" fillId="3" borderId="48" xfId="0" applyNumberFormat="1" applyFont="1" applyFill="1" applyBorder="1"/>
    <xf numFmtId="14" fontId="10" fillId="3" borderId="0" xfId="0" applyNumberFormat="1" applyFont="1" applyFill="1" applyAlignment="1">
      <alignment horizontal="left"/>
    </xf>
    <xf numFmtId="0" fontId="13" fillId="3" borderId="0" xfId="0" applyFont="1" applyFill="1"/>
    <xf numFmtId="0" fontId="0" fillId="3" borderId="0" xfId="0" applyFill="1" applyAlignment="1">
      <alignment horizontal="center"/>
    </xf>
    <xf numFmtId="0" fontId="15" fillId="3" borderId="0" xfId="0" applyFont="1" applyFill="1"/>
    <xf numFmtId="0" fontId="16" fillId="3" borderId="0" xfId="0" applyFont="1" applyFill="1"/>
    <xf numFmtId="0" fontId="18" fillId="3" borderId="0" xfId="0" applyFont="1" applyFill="1"/>
    <xf numFmtId="0" fontId="0" fillId="0" borderId="50" xfId="0" applyBorder="1" applyAlignment="1">
      <alignment horizontal="center"/>
    </xf>
    <xf numFmtId="0" fontId="0" fillId="0" borderId="50" xfId="0" applyBorder="1"/>
    <xf numFmtId="0" fontId="0" fillId="5" borderId="50" xfId="0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165" fontId="0" fillId="3" borderId="0" xfId="0" applyNumberFormat="1" applyFill="1"/>
    <xf numFmtId="0" fontId="6" fillId="3" borderId="1" xfId="0" applyFont="1" applyFill="1" applyBorder="1" applyAlignment="1">
      <alignment horizontal="center"/>
    </xf>
    <xf numFmtId="166" fontId="11" fillId="3" borderId="1" xfId="0" applyNumberFormat="1" applyFont="1" applyFill="1" applyBorder="1" applyAlignment="1">
      <alignment horizontal="center"/>
    </xf>
    <xf numFmtId="0" fontId="0" fillId="3" borderId="51" xfId="0" applyFill="1" applyBorder="1"/>
    <xf numFmtId="0" fontId="0" fillId="3" borderId="52" xfId="0" applyFill="1" applyBorder="1"/>
    <xf numFmtId="165" fontId="0" fillId="3" borderId="53" xfId="0" applyNumberFormat="1" applyFill="1" applyBorder="1"/>
    <xf numFmtId="0" fontId="0" fillId="3" borderId="54" xfId="0" applyFill="1" applyBorder="1"/>
    <xf numFmtId="165" fontId="0" fillId="3" borderId="55" xfId="0" applyNumberFormat="1" applyFill="1" applyBorder="1"/>
    <xf numFmtId="0" fontId="0" fillId="3" borderId="56" xfId="0" applyFill="1" applyBorder="1"/>
    <xf numFmtId="0" fontId="0" fillId="3" borderId="57" xfId="0" applyFill="1" applyBorder="1"/>
    <xf numFmtId="165" fontId="0" fillId="5" borderId="58" xfId="0" applyNumberFormat="1" applyFill="1" applyBorder="1"/>
    <xf numFmtId="0" fontId="0" fillId="5" borderId="0" xfId="0" applyFill="1"/>
    <xf numFmtId="0" fontId="1" fillId="4" borderId="0" xfId="0" applyFont="1" applyFill="1"/>
    <xf numFmtId="0" fontId="0" fillId="4" borderId="0" xfId="0" applyFill="1"/>
    <xf numFmtId="0" fontId="0" fillId="2" borderId="18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2" borderId="16" xfId="0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1" fillId="3" borderId="0" xfId="0" applyFont="1" applyFill="1" applyAlignment="1">
      <alignment horizontal="left" indent="11"/>
    </xf>
    <xf numFmtId="0" fontId="4" fillId="3" borderId="2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2" borderId="1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14" fontId="2" fillId="3" borderId="48" xfId="0" applyNumberFormat="1" applyFont="1" applyFill="1" applyBorder="1" applyAlignment="1">
      <alignment horizontal="center"/>
    </xf>
    <xf numFmtId="14" fontId="2" fillId="3" borderId="49" xfId="0" applyNumberFormat="1" applyFont="1" applyFill="1" applyBorder="1" applyAlignment="1">
      <alignment horizontal="center"/>
    </xf>
    <xf numFmtId="0" fontId="4" fillId="2" borderId="20" xfId="0" applyFont="1" applyFill="1" applyBorder="1" applyAlignment="1">
      <alignment horizontal="left"/>
    </xf>
    <xf numFmtId="14" fontId="4" fillId="4" borderId="5" xfId="0" applyNumberFormat="1" applyFont="1" applyFill="1" applyBorder="1" applyAlignment="1">
      <alignment horizontal="left"/>
    </xf>
    <xf numFmtId="14" fontId="4" fillId="4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 vertical="center" indent="8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4" fillId="2" borderId="47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center"/>
    </xf>
    <xf numFmtId="14" fontId="4" fillId="3" borderId="15" xfId="0" applyNumberFormat="1" applyFont="1" applyFill="1" applyBorder="1" applyAlignment="1">
      <alignment horizontal="center"/>
    </xf>
    <xf numFmtId="14" fontId="4" fillId="3" borderId="10" xfId="0" applyNumberFormat="1" applyFont="1" applyFill="1" applyBorder="1" applyAlignment="1">
      <alignment horizontal="center"/>
    </xf>
    <xf numFmtId="14" fontId="4" fillId="3" borderId="12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/>
    </xf>
    <xf numFmtId="14" fontId="4" fillId="3" borderId="3" xfId="0" applyNumberFormat="1" applyFont="1" applyFill="1" applyBorder="1" applyAlignment="1">
      <alignment horizontal="center"/>
    </xf>
    <xf numFmtId="14" fontId="4" fillId="3" borderId="4" xfId="0" applyNumberFormat="1" applyFont="1" applyFill="1" applyBorder="1" applyAlignment="1">
      <alignment horizontal="center"/>
    </xf>
    <xf numFmtId="0" fontId="17" fillId="2" borderId="2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4" fontId="14" fillId="3" borderId="2" xfId="0" applyNumberFormat="1" applyFont="1" applyFill="1" applyBorder="1" applyAlignment="1">
      <alignment horizontal="center" wrapText="1"/>
    </xf>
    <xf numFmtId="14" fontId="14" fillId="3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9"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0.39994506668294322"/>
      </font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0.39994506668294322"/>
      </font>
    </dxf>
  </dxfs>
  <tableStyles count="0" defaultTableStyle="TableStyleMedium2" defaultPivotStyle="PivotStyleLight16"/>
  <colors>
    <mruColors>
      <color rgb="FFFFCC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261409</xdr:colOff>
      <xdr:row>1</xdr:row>
      <xdr:rowOff>42332</xdr:rowOff>
    </xdr:from>
    <xdr:to>
      <xdr:col>12</xdr:col>
      <xdr:colOff>95251</xdr:colOff>
      <xdr:row>16</xdr:row>
      <xdr:rowOff>42332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61409" y="179915"/>
          <a:ext cx="8501592" cy="2942167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169334</xdr:colOff>
      <xdr:row>1</xdr:row>
      <xdr:rowOff>20108</xdr:rowOff>
    </xdr:from>
    <xdr:to>
      <xdr:col>20</xdr:col>
      <xdr:colOff>127002</xdr:colOff>
      <xdr:row>6</xdr:row>
      <xdr:rowOff>162983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837084" y="157691"/>
          <a:ext cx="4815418" cy="1105959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197906</xdr:colOff>
      <xdr:row>1</xdr:row>
      <xdr:rowOff>184150</xdr:rowOff>
    </xdr:from>
    <xdr:to>
      <xdr:col>19</xdr:col>
      <xdr:colOff>402166</xdr:colOff>
      <xdr:row>4</xdr:row>
      <xdr:rowOff>146141</xdr:rowOff>
    </xdr:to>
    <xdr:pic>
      <xdr:nvPicPr>
        <xdr:cNvPr id="7" name="Picture 6" descr="Logo, company name&#10;&#10;Description automatically generated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6239" y="321733"/>
          <a:ext cx="923927" cy="728225"/>
        </a:xfrm>
        <a:prstGeom prst="rect">
          <a:avLst/>
        </a:prstGeom>
      </xdr:spPr>
    </xdr:pic>
    <xdr:clientData/>
  </xdr:twoCellAnchor>
  <xdr:twoCellAnchor>
    <xdr:from>
      <xdr:col>12</xdr:col>
      <xdr:colOff>201083</xdr:colOff>
      <xdr:row>16</xdr:row>
      <xdr:rowOff>66675</xdr:rowOff>
    </xdr:from>
    <xdr:to>
      <xdr:col>20</xdr:col>
      <xdr:colOff>105834</xdr:colOff>
      <xdr:row>26</xdr:row>
      <xdr:rowOff>57150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868833" y="3733800"/>
          <a:ext cx="4686301" cy="1857375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4</xdr:row>
          <xdr:rowOff>104775</xdr:rowOff>
        </xdr:from>
        <xdr:to>
          <xdr:col>8</xdr:col>
          <xdr:colOff>781050</xdr:colOff>
          <xdr:row>6</xdr:row>
          <xdr:rowOff>104775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49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5</xdr:row>
          <xdr:rowOff>104775</xdr:rowOff>
        </xdr:from>
        <xdr:to>
          <xdr:col>8</xdr:col>
          <xdr:colOff>781050</xdr:colOff>
          <xdr:row>7</xdr:row>
          <xdr:rowOff>95250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49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6</xdr:row>
          <xdr:rowOff>114300</xdr:rowOff>
        </xdr:from>
        <xdr:to>
          <xdr:col>8</xdr:col>
          <xdr:colOff>781050</xdr:colOff>
          <xdr:row>8</xdr:row>
          <xdr:rowOff>104775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49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179917</xdr:colOff>
      <xdr:row>7</xdr:row>
      <xdr:rowOff>9525</xdr:rowOff>
    </xdr:from>
    <xdr:to>
      <xdr:col>20</xdr:col>
      <xdr:colOff>116418</xdr:colOff>
      <xdr:row>16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847667" y="1321858"/>
          <a:ext cx="4794251" cy="1757892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158750</xdr:colOff>
      <xdr:row>1</xdr:row>
      <xdr:rowOff>1972</xdr:rowOff>
    </xdr:from>
    <xdr:to>
      <xdr:col>21</xdr:col>
      <xdr:colOff>1</xdr:colOff>
      <xdr:row>64</xdr:row>
      <xdr:rowOff>123826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58750" y="135322"/>
          <a:ext cx="13909676" cy="12732954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7</xdr:row>
          <xdr:rowOff>114300</xdr:rowOff>
        </xdr:from>
        <xdr:to>
          <xdr:col>8</xdr:col>
          <xdr:colOff>781050</xdr:colOff>
          <xdr:row>9</xdr:row>
          <xdr:rowOff>123825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349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9</xdr:col>
      <xdr:colOff>677330</xdr:colOff>
      <xdr:row>8</xdr:row>
      <xdr:rowOff>10583</xdr:rowOff>
    </xdr:from>
    <xdr:ext cx="179917" cy="216645"/>
    <xdr:pic>
      <xdr:nvPicPr>
        <xdr:cNvPr id="10" name="Picture 9" descr="A colorful bird with a black background&#10;&#10;Description automatically generate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5497" y="1513416"/>
          <a:ext cx="179917" cy="216645"/>
        </a:xfrm>
        <a:prstGeom prst="rect">
          <a:avLst/>
        </a:prstGeom>
      </xdr:spPr>
    </xdr:pic>
    <xdr:clientData/>
  </xdr:oneCellAnchor>
  <xdr:twoCellAnchor editAs="oneCell">
    <xdr:from>
      <xdr:col>13</xdr:col>
      <xdr:colOff>209550</xdr:colOff>
      <xdr:row>2</xdr:row>
      <xdr:rowOff>19050</xdr:rowOff>
    </xdr:from>
    <xdr:to>
      <xdr:col>14</xdr:col>
      <xdr:colOff>424102</xdr:colOff>
      <xdr:row>4</xdr:row>
      <xdr:rowOff>92272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0E008C5-ECF4-454A-B50B-6769EBE97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3525" y="342900"/>
          <a:ext cx="824152" cy="647897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16</xdr:row>
      <xdr:rowOff>19050</xdr:rowOff>
    </xdr:from>
    <xdr:to>
      <xdr:col>5</xdr:col>
      <xdr:colOff>76200</xdr:colOff>
      <xdr:row>24</xdr:row>
      <xdr:rowOff>133350</xdr:rowOff>
    </xdr:to>
    <xdr:sp macro="" textlink="">
      <xdr:nvSpPr>
        <xdr:cNvPr id="15" name="Rectangle: Rounded Corners 8">
          <a:extLst>
            <a:ext uri="{FF2B5EF4-FFF2-40B4-BE49-F238E27FC236}">
              <a16:creationId xmlns:a16="http://schemas.microsoft.com/office/drawing/2014/main" id="{C4980263-559C-4B52-85B2-0D5768D78311}"/>
            </a:ext>
          </a:extLst>
        </xdr:cNvPr>
        <xdr:cNvSpPr/>
      </xdr:nvSpPr>
      <xdr:spPr>
        <a:xfrm>
          <a:off x="95250" y="3686175"/>
          <a:ext cx="4086225" cy="1600200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114300</xdr:colOff>
      <xdr:row>16</xdr:row>
      <xdr:rowOff>28575</xdr:rowOff>
    </xdr:from>
    <xdr:to>
      <xdr:col>12</xdr:col>
      <xdr:colOff>123825</xdr:colOff>
      <xdr:row>24</xdr:row>
      <xdr:rowOff>152400</xdr:rowOff>
    </xdr:to>
    <xdr:sp macro="" textlink="">
      <xdr:nvSpPr>
        <xdr:cNvPr id="20" name="Rectangle: Rounded Corners 8">
          <a:extLst>
            <a:ext uri="{FF2B5EF4-FFF2-40B4-BE49-F238E27FC236}">
              <a16:creationId xmlns:a16="http://schemas.microsoft.com/office/drawing/2014/main" id="{047E31DA-CCB1-4312-9EDE-738DC45E174F}"/>
            </a:ext>
          </a:extLst>
        </xdr:cNvPr>
        <xdr:cNvSpPr/>
      </xdr:nvSpPr>
      <xdr:spPr>
        <a:xfrm>
          <a:off x="4219575" y="3695700"/>
          <a:ext cx="4572000" cy="1609725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295276</xdr:colOff>
      <xdr:row>34</xdr:row>
      <xdr:rowOff>104775</xdr:rowOff>
    </xdr:from>
    <xdr:to>
      <xdr:col>10</xdr:col>
      <xdr:colOff>314325</xdr:colOff>
      <xdr:row>63</xdr:row>
      <xdr:rowOff>29573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1215A2-A9A3-3757-97A7-A270CFD70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4622"/>
        <a:stretch>
          <a:fillRect/>
        </a:stretch>
      </xdr:blipFill>
      <xdr:spPr>
        <a:xfrm>
          <a:off x="295276" y="7191375"/>
          <a:ext cx="7458074" cy="5382623"/>
        </a:xfrm>
        <a:prstGeom prst="rect">
          <a:avLst/>
        </a:prstGeom>
      </xdr:spPr>
    </xdr:pic>
    <xdr:clientData/>
  </xdr:twoCellAnchor>
  <xdr:twoCellAnchor editAs="oneCell">
    <xdr:from>
      <xdr:col>10</xdr:col>
      <xdr:colOff>752475</xdr:colOff>
      <xdr:row>35</xdr:row>
      <xdr:rowOff>28423</xdr:rowOff>
    </xdr:from>
    <xdr:to>
      <xdr:col>20</xdr:col>
      <xdr:colOff>151122</xdr:colOff>
      <xdr:row>50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97797E8-760F-576D-1D57-ADAEDAF7C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500" y="7305523"/>
          <a:ext cx="5808972" cy="27909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</xdr:row>
      <xdr:rowOff>152400</xdr:rowOff>
    </xdr:from>
    <xdr:to>
      <xdr:col>17</xdr:col>
      <xdr:colOff>219075</xdr:colOff>
      <xdr:row>9</xdr:row>
      <xdr:rowOff>114300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C54DC2B-37F8-C916-E988-A67D7CB3D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342900"/>
          <a:ext cx="11515725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237E-C805-471E-BA41-766F924AAFCC}">
  <sheetPr codeName="Sheet1">
    <pageSetUpPr fitToPage="1"/>
  </sheetPr>
  <dimension ref="B1:U93"/>
  <sheetViews>
    <sheetView showGridLines="0" tabSelected="1" zoomScaleNormal="100" workbookViewId="0">
      <selection activeCell="I15" sqref="I15"/>
    </sheetView>
  </sheetViews>
  <sheetFormatPr baseColWidth="10" defaultColWidth="9.140625" defaultRowHeight="15" x14ac:dyDescent="0.25"/>
  <cols>
    <col min="1" max="1" width="5.85546875" style="2" customWidth="1"/>
    <col min="2" max="2" width="18.42578125" style="2" customWidth="1"/>
    <col min="3" max="3" width="12.85546875" style="2" customWidth="1"/>
    <col min="4" max="4" width="13.42578125" style="2" customWidth="1"/>
    <col min="5" max="5" width="11" style="2" bestFit="1" customWidth="1"/>
    <col min="6" max="6" width="2.140625" style="2" customWidth="1"/>
    <col min="7" max="7" width="2.42578125" style="2" customWidth="1"/>
    <col min="8" max="8" width="16.42578125" style="2" customWidth="1"/>
    <col min="9" max="9" width="13.7109375" style="2" bestFit="1" customWidth="1"/>
    <col min="10" max="10" width="15.28515625" style="2" bestFit="1" customWidth="1"/>
    <col min="11" max="11" width="11.42578125" style="2" customWidth="1"/>
    <col min="12" max="12" width="13" style="2" customWidth="1"/>
    <col min="13" max="13" width="4.140625" style="2" customWidth="1"/>
    <col min="14" max="14" width="9.140625" style="2"/>
    <col min="15" max="15" width="11" style="2" customWidth="1"/>
    <col min="16" max="16" width="7.7109375" style="2" customWidth="1"/>
    <col min="17" max="17" width="10.5703125" style="2" customWidth="1"/>
    <col min="18" max="18" width="9.140625" style="2"/>
    <col min="19" max="19" width="10.85546875" style="2" customWidth="1"/>
    <col min="20" max="20" width="9.140625" style="2"/>
    <col min="21" max="21" width="3.28515625" style="2" customWidth="1"/>
    <col min="22" max="22" width="9.140625" style="2"/>
    <col min="23" max="23" width="10.7109375" style="2" bestFit="1" customWidth="1"/>
    <col min="24" max="16384" width="9.140625" style="2"/>
  </cols>
  <sheetData>
    <row r="1" spans="2:21" ht="10.5" customHeight="1" x14ac:dyDescent="0.25"/>
    <row r="2" spans="2:21" x14ac:dyDescent="0.25">
      <c r="O2" s="100" t="s">
        <v>0</v>
      </c>
      <c r="P2" s="100"/>
      <c r="Q2" s="100"/>
      <c r="R2" s="100"/>
    </row>
    <row r="3" spans="2:21" ht="15" customHeight="1" x14ac:dyDescent="0.25">
      <c r="B3" s="133" t="s">
        <v>76</v>
      </c>
      <c r="C3" s="134"/>
      <c r="D3" s="134"/>
      <c r="E3" s="135"/>
      <c r="G3" s="112" t="s">
        <v>2</v>
      </c>
      <c r="H3" s="112"/>
      <c r="I3" s="108" t="s">
        <v>122</v>
      </c>
      <c r="J3" s="108"/>
      <c r="K3" s="108"/>
      <c r="L3" s="109"/>
      <c r="N3" s="8"/>
      <c r="O3" s="10"/>
      <c r="P3" s="104" t="s">
        <v>3</v>
      </c>
      <c r="Q3" s="105"/>
      <c r="R3" s="106"/>
    </row>
    <row r="4" spans="2:21" ht="30" customHeight="1" x14ac:dyDescent="0.25">
      <c r="B4" s="18" t="s">
        <v>4</v>
      </c>
      <c r="C4" s="139" t="s">
        <v>126</v>
      </c>
      <c r="D4" s="140"/>
      <c r="E4" s="140"/>
      <c r="G4" s="97"/>
      <c r="H4" s="97"/>
      <c r="I4" s="110"/>
      <c r="J4" s="110"/>
      <c r="K4" s="110"/>
      <c r="L4" s="111"/>
      <c r="N4" s="9"/>
      <c r="O4" s="11"/>
      <c r="P4" s="101" t="s">
        <v>124</v>
      </c>
      <c r="Q4" s="102"/>
      <c r="R4" s="103"/>
    </row>
    <row r="5" spans="2:21" ht="15.75" customHeight="1" x14ac:dyDescent="0.25">
      <c r="B5" s="7" t="s">
        <v>6</v>
      </c>
      <c r="C5" s="136"/>
      <c r="D5" s="137"/>
      <c r="E5" s="138"/>
      <c r="G5" s="114" t="s">
        <v>7</v>
      </c>
      <c r="H5" s="115"/>
      <c r="I5" s="27" t="s">
        <v>8</v>
      </c>
      <c r="J5" s="126" t="s">
        <v>9</v>
      </c>
      <c r="K5" s="127"/>
      <c r="L5" s="28" t="s">
        <v>10</v>
      </c>
      <c r="N5" s="9"/>
      <c r="O5" s="11"/>
      <c r="P5" s="104" t="s">
        <v>11</v>
      </c>
      <c r="Q5" s="105"/>
      <c r="R5" s="106"/>
    </row>
    <row r="6" spans="2:21" ht="15" customHeight="1" x14ac:dyDescent="0.25">
      <c r="B6" s="7" t="s">
        <v>12</v>
      </c>
      <c r="C6" s="50"/>
      <c r="D6" s="53" t="s">
        <v>13</v>
      </c>
      <c r="E6" s="19" t="s">
        <v>14</v>
      </c>
      <c r="G6" s="114" t="s">
        <v>15</v>
      </c>
      <c r="H6" s="115"/>
      <c r="I6" s="12"/>
      <c r="J6" s="128">
        <v>45667</v>
      </c>
      <c r="K6" s="129"/>
      <c r="L6" s="25" t="s">
        <v>114</v>
      </c>
      <c r="N6" s="9"/>
      <c r="O6" s="9"/>
      <c r="P6" s="123" t="s">
        <v>123</v>
      </c>
      <c r="Q6" s="124"/>
      <c r="R6" s="125"/>
    </row>
    <row r="7" spans="2:21" ht="16.5" customHeight="1" x14ac:dyDescent="0.25">
      <c r="B7" s="7" t="s">
        <v>17</v>
      </c>
      <c r="C7" s="19" t="s">
        <v>18</v>
      </c>
      <c r="D7" s="53" t="s">
        <v>19</v>
      </c>
      <c r="E7" s="74">
        <v>4600009282</v>
      </c>
      <c r="G7" s="114" t="s">
        <v>20</v>
      </c>
      <c r="H7" s="115"/>
      <c r="I7" s="12"/>
      <c r="J7" s="128" t="s">
        <v>125</v>
      </c>
      <c r="K7" s="129"/>
      <c r="L7" s="19" t="s">
        <v>114</v>
      </c>
    </row>
    <row r="8" spans="2:21" ht="15" customHeight="1" x14ac:dyDescent="0.25">
      <c r="B8" s="7" t="s">
        <v>21</v>
      </c>
      <c r="C8" s="51">
        <v>46025</v>
      </c>
      <c r="D8" s="53" t="s">
        <v>22</v>
      </c>
      <c r="E8" s="51" t="s">
        <v>144</v>
      </c>
      <c r="G8" s="114" t="s">
        <v>23</v>
      </c>
      <c r="H8" s="115"/>
      <c r="I8" s="12"/>
      <c r="J8" s="130" t="s">
        <v>115</v>
      </c>
      <c r="K8" s="131"/>
      <c r="L8" s="19" t="s">
        <v>114</v>
      </c>
      <c r="O8" s="3" t="s">
        <v>24</v>
      </c>
      <c r="P8" s="5"/>
      <c r="Q8" s="43" t="s">
        <v>25</v>
      </c>
      <c r="R8" s="3" t="s">
        <v>26</v>
      </c>
      <c r="S8" s="5"/>
      <c r="T8" s="5"/>
      <c r="U8" s="5"/>
    </row>
    <row r="9" spans="2:21" ht="15" customHeight="1" x14ac:dyDescent="0.25">
      <c r="B9" s="7" t="s">
        <v>27</v>
      </c>
      <c r="C9" s="51"/>
      <c r="D9" s="53" t="s">
        <v>1</v>
      </c>
      <c r="E9" s="20"/>
      <c r="G9" s="114" t="s">
        <v>28</v>
      </c>
      <c r="H9" s="115"/>
      <c r="I9" s="17"/>
      <c r="J9" s="117"/>
      <c r="K9" s="118"/>
      <c r="L9" s="61"/>
      <c r="N9" s="32" t="s">
        <v>29</v>
      </c>
      <c r="O9" s="33">
        <f>+I26</f>
        <v>20281305.559999999</v>
      </c>
      <c r="P9" s="34" t="s">
        <v>96</v>
      </c>
      <c r="Q9" s="35"/>
      <c r="R9" s="32" t="s">
        <v>29</v>
      </c>
      <c r="S9" s="33">
        <v>0</v>
      </c>
      <c r="T9" s="41" t="s">
        <v>96</v>
      </c>
    </row>
    <row r="10" spans="2:21" x14ac:dyDescent="0.25">
      <c r="B10" s="7" t="s">
        <v>32</v>
      </c>
      <c r="C10" s="136"/>
      <c r="D10" s="137"/>
      <c r="E10" s="138"/>
      <c r="G10" s="16"/>
      <c r="H10" s="113" t="s">
        <v>33</v>
      </c>
      <c r="I10" s="113"/>
      <c r="J10" s="113"/>
      <c r="K10" s="113"/>
      <c r="L10" s="113"/>
      <c r="N10" s="36" t="s">
        <v>34</v>
      </c>
      <c r="O10" s="21">
        <v>0</v>
      </c>
      <c r="P10" s="25" t="s">
        <v>96</v>
      </c>
      <c r="Q10" s="37"/>
      <c r="R10" s="36" t="s">
        <v>34</v>
      </c>
      <c r="S10" s="21">
        <v>0</v>
      </c>
      <c r="T10" s="42" t="s">
        <v>96</v>
      </c>
    </row>
    <row r="11" spans="2:21" x14ac:dyDescent="0.25">
      <c r="B11" s="113" t="s">
        <v>35</v>
      </c>
      <c r="C11" s="113"/>
      <c r="D11" s="113"/>
      <c r="E11" s="113"/>
      <c r="G11" s="116" t="s">
        <v>36</v>
      </c>
      <c r="H11" s="116"/>
      <c r="I11" s="24">
        <v>0</v>
      </c>
      <c r="J11" s="25" t="s">
        <v>96</v>
      </c>
      <c r="K11" s="24">
        <f>+I11/L16</f>
        <v>0</v>
      </c>
      <c r="L11" s="25" t="s">
        <v>37</v>
      </c>
      <c r="N11" s="36" t="s">
        <v>38</v>
      </c>
      <c r="O11" s="21">
        <v>0</v>
      </c>
      <c r="P11" s="25" t="s">
        <v>96</v>
      </c>
      <c r="Q11" s="37"/>
      <c r="R11" s="36" t="s">
        <v>38</v>
      </c>
      <c r="S11" s="22">
        <v>0</v>
      </c>
      <c r="T11" s="42" t="s">
        <v>96</v>
      </c>
    </row>
    <row r="12" spans="2:21" x14ac:dyDescent="0.25">
      <c r="B12" s="7" t="s">
        <v>39</v>
      </c>
      <c r="C12" s="136" t="s">
        <v>116</v>
      </c>
      <c r="D12" s="137"/>
      <c r="E12" s="138"/>
      <c r="G12" s="116" t="s">
        <v>40</v>
      </c>
      <c r="H12" s="116"/>
      <c r="I12" s="26">
        <v>0</v>
      </c>
      <c r="J12" s="25" t="s">
        <v>96</v>
      </c>
      <c r="K12" s="24">
        <f>+I12/L16</f>
        <v>0</v>
      </c>
      <c r="L12" s="25" t="s">
        <v>37</v>
      </c>
      <c r="N12" s="36" t="s">
        <v>41</v>
      </c>
      <c r="O12" s="21">
        <v>0</v>
      </c>
      <c r="P12" s="25" t="s">
        <v>96</v>
      </c>
      <c r="Q12" s="37"/>
      <c r="R12" s="36" t="s">
        <v>41</v>
      </c>
      <c r="S12" s="22">
        <v>0</v>
      </c>
      <c r="T12" s="42" t="s">
        <v>96</v>
      </c>
    </row>
    <row r="13" spans="2:21" ht="30" customHeight="1" x14ac:dyDescent="0.25">
      <c r="B13" s="7" t="s">
        <v>42</v>
      </c>
      <c r="C13" s="50">
        <v>7</v>
      </c>
      <c r="D13" s="141" t="s">
        <v>117</v>
      </c>
      <c r="E13" s="142"/>
      <c r="G13" s="116" t="s">
        <v>43</v>
      </c>
      <c r="H13" s="116"/>
      <c r="I13" s="26">
        <f>+O9</f>
        <v>20281305.559999999</v>
      </c>
      <c r="J13" s="25" t="s">
        <v>96</v>
      </c>
      <c r="K13" s="24">
        <f>+I13/L16</f>
        <v>14040.363835237105</v>
      </c>
      <c r="L13" s="25" t="s">
        <v>37</v>
      </c>
      <c r="N13" s="36" t="s">
        <v>44</v>
      </c>
      <c r="O13" s="21">
        <v>0</v>
      </c>
      <c r="P13" s="25" t="s">
        <v>96</v>
      </c>
      <c r="Q13" s="38"/>
      <c r="R13" s="36" t="s">
        <v>44</v>
      </c>
      <c r="S13" s="22">
        <v>0</v>
      </c>
      <c r="T13" s="42" t="s">
        <v>96</v>
      </c>
    </row>
    <row r="14" spans="2:21" ht="15.75" thickBot="1" x14ac:dyDescent="0.3">
      <c r="B14" s="7" t="s">
        <v>45</v>
      </c>
      <c r="C14" s="50">
        <v>7</v>
      </c>
      <c r="D14" s="136"/>
      <c r="E14" s="138"/>
      <c r="G14" s="116" t="s">
        <v>46</v>
      </c>
      <c r="H14" s="116"/>
      <c r="I14" s="26">
        <f>I11+I13</f>
        <v>20281305.559999999</v>
      </c>
      <c r="J14" s="25" t="s">
        <v>96</v>
      </c>
      <c r="K14" s="24">
        <f>+I14/L16</f>
        <v>14040.363835237105</v>
      </c>
      <c r="L14" s="25" t="s">
        <v>37</v>
      </c>
      <c r="N14" s="36" t="s">
        <v>47</v>
      </c>
      <c r="O14" s="44">
        <v>0</v>
      </c>
      <c r="P14" s="45" t="s">
        <v>96</v>
      </c>
      <c r="Q14" s="38"/>
      <c r="R14" s="36" t="s">
        <v>47</v>
      </c>
      <c r="S14" s="23">
        <v>0</v>
      </c>
      <c r="T14" s="48" t="s">
        <v>96</v>
      </c>
    </row>
    <row r="15" spans="2:21" ht="15.75" thickTop="1" x14ac:dyDescent="0.25">
      <c r="B15" s="55" t="s">
        <v>48</v>
      </c>
      <c r="C15" s="19" t="s">
        <v>49</v>
      </c>
      <c r="D15" s="7" t="s">
        <v>50</v>
      </c>
      <c r="E15" s="19" t="s">
        <v>49</v>
      </c>
      <c r="G15" s="119" t="s">
        <v>51</v>
      </c>
      <c r="H15" s="119"/>
      <c r="I15" s="26">
        <f>I12+I13</f>
        <v>20281305.559999999</v>
      </c>
      <c r="J15" s="25" t="s">
        <v>96</v>
      </c>
      <c r="K15" s="24">
        <f>+I15/L16</f>
        <v>14040.363835237105</v>
      </c>
      <c r="L15" s="25" t="s">
        <v>37</v>
      </c>
      <c r="N15" s="39" t="s">
        <v>52</v>
      </c>
      <c r="O15" s="46">
        <f>SUM(O9:O14)</f>
        <v>20281305.559999999</v>
      </c>
      <c r="P15" s="47" t="s">
        <v>96</v>
      </c>
      <c r="Q15" s="40"/>
      <c r="R15" s="39" t="s">
        <v>52</v>
      </c>
      <c r="S15" s="46">
        <f>SUM(S9:S14)</f>
        <v>0</v>
      </c>
      <c r="T15" s="49" t="s">
        <v>96</v>
      </c>
    </row>
    <row r="16" spans="2:21" ht="34.5" customHeight="1" x14ac:dyDescent="0.25">
      <c r="B16" s="54" t="s">
        <v>53</v>
      </c>
      <c r="C16" s="11"/>
      <c r="D16" s="11"/>
      <c r="E16" s="120"/>
      <c r="F16" s="121"/>
      <c r="G16" s="121"/>
      <c r="H16" s="121"/>
      <c r="I16" s="121"/>
      <c r="J16" s="121"/>
      <c r="K16" s="62" t="s">
        <v>54</v>
      </c>
      <c r="L16" s="75">
        <v>1444.5</v>
      </c>
      <c r="O16" s="57">
        <f>IF(P15=Sheet2!H9,O15,O15/$L$16)</f>
        <v>14040.363835237105</v>
      </c>
      <c r="P16" s="58" t="s">
        <v>37</v>
      </c>
      <c r="Q16" s="59"/>
      <c r="R16" s="59"/>
      <c r="S16" s="57">
        <f>IF(T15=Sheet2!L9,S15,S15/$L$16)</f>
        <v>0</v>
      </c>
      <c r="T16" s="56" t="s">
        <v>37</v>
      </c>
    </row>
    <row r="17" spans="2:20" ht="12" customHeight="1" x14ac:dyDescent="0.25"/>
    <row r="18" spans="2:20" x14ac:dyDescent="0.25">
      <c r="C18" s="107" t="s">
        <v>55</v>
      </c>
      <c r="D18" s="107"/>
      <c r="E18" s="13"/>
      <c r="F18" s="13"/>
      <c r="G18" s="13"/>
      <c r="H18" s="107"/>
      <c r="I18" s="107"/>
      <c r="J18" s="107"/>
      <c r="K18" s="107"/>
      <c r="L18" s="107"/>
      <c r="P18" s="122" t="s">
        <v>56</v>
      </c>
      <c r="Q18" s="122"/>
      <c r="R18" s="122"/>
    </row>
    <row r="19" spans="2:20" ht="15" customHeight="1" x14ac:dyDescent="0.25">
      <c r="B19" s="14" t="s">
        <v>57</v>
      </c>
      <c r="C19" s="94" t="s">
        <v>107</v>
      </c>
      <c r="D19" s="96"/>
      <c r="E19" s="95"/>
      <c r="G19" s="98"/>
      <c r="H19" s="99"/>
      <c r="I19" s="94"/>
      <c r="J19" s="96"/>
      <c r="K19" s="96"/>
      <c r="L19" s="95"/>
      <c r="N19" s="97" t="s">
        <v>59</v>
      </c>
      <c r="O19" s="97"/>
      <c r="P19" s="89"/>
      <c r="Q19" s="90"/>
      <c r="R19" s="90"/>
      <c r="S19" s="90"/>
      <c r="T19" s="91"/>
    </row>
    <row r="20" spans="2:20" ht="15" customHeight="1" x14ac:dyDescent="0.25">
      <c r="B20" s="15"/>
      <c r="C20" s="19"/>
      <c r="D20" s="94"/>
      <c r="E20" s="95"/>
      <c r="G20" s="98"/>
      <c r="H20" s="99"/>
      <c r="I20" s="19"/>
      <c r="J20" s="52"/>
      <c r="K20" s="94"/>
      <c r="L20" s="95"/>
      <c r="N20" s="87"/>
      <c r="O20" s="87"/>
      <c r="P20" s="89"/>
      <c r="Q20" s="90"/>
      <c r="R20" s="90"/>
      <c r="S20" s="90"/>
      <c r="T20" s="91"/>
    </row>
    <row r="21" spans="2:20" x14ac:dyDescent="0.25">
      <c r="B21" s="15"/>
      <c r="C21" s="92"/>
      <c r="D21" s="93"/>
      <c r="E21" s="29"/>
      <c r="G21" s="98"/>
      <c r="H21" s="99"/>
      <c r="I21" s="92"/>
      <c r="J21" s="92"/>
      <c r="K21" s="93"/>
      <c r="L21" s="29"/>
      <c r="N21" s="87" t="s">
        <v>61</v>
      </c>
      <c r="O21" s="87"/>
      <c r="P21" s="89"/>
      <c r="Q21" s="90"/>
      <c r="R21" s="90"/>
      <c r="S21" s="90"/>
      <c r="T21" s="91"/>
    </row>
    <row r="22" spans="2:20" x14ac:dyDescent="0.25">
      <c r="B22" s="15"/>
      <c r="C22" s="92"/>
      <c r="D22" s="93"/>
      <c r="E22" s="29"/>
      <c r="G22" s="98"/>
      <c r="H22" s="99"/>
      <c r="I22" s="92"/>
      <c r="J22" s="92"/>
      <c r="K22" s="93"/>
      <c r="L22" s="29"/>
      <c r="N22" s="87"/>
      <c r="O22" s="87"/>
      <c r="P22" s="89"/>
      <c r="Q22" s="90"/>
      <c r="R22" s="90"/>
      <c r="S22" s="90"/>
      <c r="T22" s="91"/>
    </row>
    <row r="23" spans="2:20" x14ac:dyDescent="0.25">
      <c r="B23" s="15"/>
      <c r="C23" s="92"/>
      <c r="D23" s="93"/>
      <c r="E23" s="30"/>
      <c r="G23" s="98"/>
      <c r="H23" s="99"/>
      <c r="I23" s="92"/>
      <c r="J23" s="92"/>
      <c r="K23" s="93"/>
      <c r="L23" s="30"/>
      <c r="N23" s="87" t="s">
        <v>64</v>
      </c>
      <c r="O23" s="87"/>
      <c r="P23" s="89"/>
      <c r="Q23" s="90"/>
      <c r="R23" s="90"/>
      <c r="S23" s="90"/>
      <c r="T23" s="91"/>
    </row>
    <row r="24" spans="2:20" x14ac:dyDescent="0.25">
      <c r="B24" s="31"/>
      <c r="C24" s="60"/>
      <c r="D24" s="60"/>
      <c r="E24" s="60"/>
      <c r="G24" s="98"/>
      <c r="H24" s="99"/>
      <c r="I24" s="60"/>
      <c r="J24" s="60"/>
      <c r="K24" s="60"/>
      <c r="L24" s="60"/>
      <c r="N24" s="88"/>
      <c r="O24" s="88"/>
      <c r="P24" s="89"/>
      <c r="Q24" s="90"/>
      <c r="R24" s="90"/>
      <c r="S24" s="90"/>
      <c r="T24" s="91"/>
    </row>
    <row r="25" spans="2:20" ht="15.75" thickBot="1" x14ac:dyDescent="0.3">
      <c r="N25" s="87" t="s">
        <v>64</v>
      </c>
      <c r="O25" s="87"/>
      <c r="P25" s="89"/>
      <c r="Q25" s="90"/>
      <c r="R25" s="90"/>
      <c r="S25" s="90"/>
      <c r="T25" s="91"/>
    </row>
    <row r="26" spans="2:20" x14ac:dyDescent="0.25">
      <c r="B26" s="63" t="s">
        <v>65</v>
      </c>
      <c r="C26" s="76" t="s">
        <v>145</v>
      </c>
      <c r="D26" s="77" t="s">
        <v>148</v>
      </c>
      <c r="E26" s="77"/>
      <c r="F26" s="77"/>
      <c r="G26" s="77"/>
      <c r="H26" s="77" t="s">
        <v>146</v>
      </c>
      <c r="I26" s="78">
        <v>20281305.559999999</v>
      </c>
      <c r="N26" s="88"/>
      <c r="O26" s="88"/>
      <c r="P26" s="89"/>
      <c r="Q26" s="90"/>
      <c r="R26" s="90"/>
      <c r="S26" s="90"/>
      <c r="T26" s="91"/>
    </row>
    <row r="27" spans="2:20" ht="15.75" thickBot="1" x14ac:dyDescent="0.3">
      <c r="B27" s="63"/>
      <c r="C27" s="79"/>
      <c r="I27" s="80"/>
    </row>
    <row r="28" spans="2:20" ht="15.75" thickBot="1" x14ac:dyDescent="0.3">
      <c r="B28" s="64"/>
      <c r="C28" s="81"/>
      <c r="D28" s="82"/>
      <c r="E28" s="82"/>
      <c r="F28" s="82"/>
      <c r="G28" s="82"/>
      <c r="H28" s="82"/>
      <c r="I28" s="83">
        <f>+I27+I26</f>
        <v>20281305.559999999</v>
      </c>
    </row>
    <row r="29" spans="2:20" x14ac:dyDescent="0.25">
      <c r="B29" s="64"/>
      <c r="J29" s="5"/>
      <c r="K29" s="132" t="s">
        <v>147</v>
      </c>
      <c r="L29" s="132"/>
      <c r="M29" s="84">
        <v>1</v>
      </c>
      <c r="N29" s="84" t="s">
        <v>119</v>
      </c>
      <c r="O29" s="84"/>
      <c r="P29" s="84"/>
    </row>
    <row r="30" spans="2:20" x14ac:dyDescent="0.25">
      <c r="B30" s="64"/>
      <c r="K30" s="84"/>
      <c r="L30" s="84"/>
      <c r="M30" s="84">
        <v>2</v>
      </c>
      <c r="N30" s="84" t="s">
        <v>122</v>
      </c>
      <c r="O30" s="84"/>
      <c r="P30" s="84"/>
    </row>
    <row r="31" spans="2:20" x14ac:dyDescent="0.25">
      <c r="B31" s="64"/>
      <c r="K31" s="84"/>
      <c r="L31" s="84"/>
      <c r="M31" s="84">
        <v>3</v>
      </c>
      <c r="N31" s="84" t="s">
        <v>129</v>
      </c>
      <c r="O31" s="84"/>
      <c r="P31" s="84"/>
    </row>
    <row r="32" spans="2:20" x14ac:dyDescent="0.25">
      <c r="B32" s="64"/>
      <c r="K32" s="84"/>
      <c r="L32" s="84"/>
      <c r="M32" s="84">
        <v>4</v>
      </c>
      <c r="N32" s="84" t="s">
        <v>120</v>
      </c>
      <c r="O32" s="84"/>
      <c r="P32" s="84"/>
    </row>
    <row r="33" spans="2:17" x14ac:dyDescent="0.25">
      <c r="B33" s="64"/>
      <c r="K33"/>
      <c r="L33"/>
      <c r="M33"/>
      <c r="N33"/>
      <c r="O33"/>
      <c r="P33"/>
    </row>
    <row r="34" spans="2:17" x14ac:dyDescent="0.25">
      <c r="B34" s="85" t="s">
        <v>146</v>
      </c>
      <c r="C34" s="86"/>
      <c r="D34" s="86"/>
      <c r="E34" s="86"/>
      <c r="F34" s="86"/>
      <c r="G34" s="86"/>
      <c r="H34" s="86"/>
      <c r="I34" s="86"/>
      <c r="J34" s="85"/>
      <c r="L34" s="86" t="s">
        <v>149</v>
      </c>
      <c r="M34" s="86"/>
      <c r="N34" s="86"/>
    </row>
    <row r="35" spans="2:17" x14ac:dyDescent="0.25">
      <c r="B35" s="64"/>
    </row>
    <row r="36" spans="2:17" ht="4.5" customHeight="1" x14ac:dyDescent="0.25"/>
    <row r="37" spans="2:17" x14ac:dyDescent="0.25">
      <c r="B37" s="63"/>
    </row>
    <row r="38" spans="2:17" x14ac:dyDescent="0.25">
      <c r="L38" s="63"/>
    </row>
    <row r="43" spans="2:17" ht="5.25" customHeight="1" x14ac:dyDescent="0.25"/>
    <row r="44" spans="2:17" ht="15.75" x14ac:dyDescent="0.25">
      <c r="B44" s="63"/>
      <c r="C44" s="65"/>
      <c r="D44" s="65"/>
      <c r="E44" s="66"/>
      <c r="F44" s="66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</row>
    <row r="45" spans="2:17" ht="15.75" x14ac:dyDescent="0.25">
      <c r="B45" s="63"/>
      <c r="C45" s="65"/>
      <c r="D45" s="65"/>
      <c r="E45" s="66"/>
      <c r="F45" s="66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</row>
    <row r="46" spans="2:17" ht="15.75" x14ac:dyDescent="0.25">
      <c r="C46" s="65"/>
      <c r="D46" s="65"/>
      <c r="E46" s="65"/>
      <c r="F46" s="65"/>
    </row>
    <row r="47" spans="2:17" ht="15.75" x14ac:dyDescent="0.25">
      <c r="C47" s="65"/>
      <c r="D47" s="65"/>
      <c r="E47" s="65"/>
      <c r="F47" s="65"/>
    </row>
    <row r="48" spans="2:17" ht="15.75" x14ac:dyDescent="0.25">
      <c r="C48" s="65"/>
      <c r="D48" s="65"/>
      <c r="E48" s="65"/>
      <c r="F48" s="65"/>
    </row>
    <row r="49" spans="3:6" ht="15.75" x14ac:dyDescent="0.25">
      <c r="C49" s="65"/>
      <c r="D49" s="65"/>
      <c r="E49" s="65"/>
      <c r="F49" s="65"/>
    </row>
    <row r="50" spans="3:6" ht="15.75" x14ac:dyDescent="0.25">
      <c r="C50" s="65"/>
      <c r="D50" s="65"/>
      <c r="E50" s="65"/>
      <c r="F50" s="65"/>
    </row>
    <row r="51" spans="3:6" ht="15.75" x14ac:dyDescent="0.25">
      <c r="C51" s="65"/>
      <c r="D51" s="65"/>
      <c r="E51" s="65"/>
      <c r="F51" s="65"/>
    </row>
    <row r="52" spans="3:6" ht="15.75" x14ac:dyDescent="0.25">
      <c r="C52" s="65"/>
      <c r="D52" s="65"/>
      <c r="E52" s="65"/>
      <c r="F52" s="65"/>
    </row>
    <row r="53" spans="3:6" ht="15.75" x14ac:dyDescent="0.25">
      <c r="C53" s="65"/>
      <c r="D53" s="65"/>
      <c r="E53" s="65"/>
      <c r="F53" s="65"/>
    </row>
    <row r="54" spans="3:6" ht="15.75" x14ac:dyDescent="0.25">
      <c r="C54" s="65"/>
      <c r="D54" s="65"/>
      <c r="E54" s="65"/>
      <c r="F54" s="65"/>
    </row>
    <row r="55" spans="3:6" ht="15.75" x14ac:dyDescent="0.25">
      <c r="C55" s="65"/>
      <c r="D55" s="65"/>
      <c r="E55" s="65"/>
      <c r="F55" s="65"/>
    </row>
    <row r="56" spans="3:6" ht="15.75" x14ac:dyDescent="0.25">
      <c r="C56" s="65"/>
      <c r="D56" s="65"/>
      <c r="E56" s="65"/>
      <c r="F56" s="65"/>
    </row>
    <row r="57" spans="3:6" ht="15.75" x14ac:dyDescent="0.25">
      <c r="C57" s="65"/>
      <c r="D57" s="65"/>
      <c r="E57" s="65"/>
      <c r="F57" s="65"/>
    </row>
    <row r="58" spans="3:6" ht="15.75" x14ac:dyDescent="0.25">
      <c r="C58" s="65"/>
      <c r="D58" s="65"/>
      <c r="E58" s="65"/>
      <c r="F58" s="65"/>
    </row>
    <row r="59" spans="3:6" ht="15.75" x14ac:dyDescent="0.25">
      <c r="C59" s="65"/>
      <c r="D59" s="65"/>
      <c r="E59" s="65"/>
      <c r="F59" s="65"/>
    </row>
    <row r="60" spans="3:6" ht="15.75" x14ac:dyDescent="0.25">
      <c r="C60" s="65"/>
      <c r="D60" s="65"/>
      <c r="E60" s="65"/>
      <c r="F60" s="65"/>
    </row>
    <row r="61" spans="3:6" ht="15.75" x14ac:dyDescent="0.25">
      <c r="C61" s="65"/>
      <c r="D61" s="65"/>
      <c r="E61" s="65"/>
      <c r="F61" s="65"/>
    </row>
    <row r="62" spans="3:6" ht="15.75" x14ac:dyDescent="0.25">
      <c r="C62" s="65"/>
      <c r="D62" s="65"/>
      <c r="E62" s="65"/>
      <c r="F62" s="65"/>
    </row>
    <row r="63" spans="3:6" ht="15.75" x14ac:dyDescent="0.25">
      <c r="C63" s="65"/>
      <c r="D63" s="65"/>
      <c r="E63" s="65"/>
      <c r="F63" s="65"/>
    </row>
    <row r="64" spans="3:6" ht="15.75" x14ac:dyDescent="0.25">
      <c r="C64" s="65"/>
      <c r="D64" s="65"/>
      <c r="E64" s="65"/>
      <c r="F64" s="65"/>
    </row>
    <row r="65" spans="2:6" ht="15.75" x14ac:dyDescent="0.25">
      <c r="C65" s="65"/>
      <c r="D65" s="65"/>
      <c r="E65" s="65"/>
      <c r="F65" s="65"/>
    </row>
    <row r="66" spans="2:6" x14ac:dyDescent="0.25">
      <c r="B66" s="63"/>
    </row>
    <row r="89" spans="2:12" ht="7.5" customHeight="1" x14ac:dyDescent="0.25"/>
    <row r="90" spans="2:12" ht="15.75" x14ac:dyDescent="0.25">
      <c r="B90" s="63"/>
      <c r="E90" s="65"/>
      <c r="F90" s="65"/>
      <c r="G90" s="66"/>
      <c r="H90" s="66"/>
      <c r="I90" s="67"/>
      <c r="J90" s="73"/>
      <c r="K90" s="67"/>
      <c r="L90" s="67"/>
    </row>
    <row r="91" spans="2:12" ht="15.75" x14ac:dyDescent="0.25">
      <c r="E91" s="65"/>
      <c r="F91" s="65"/>
      <c r="G91" s="66"/>
      <c r="H91" s="66"/>
      <c r="I91" s="67"/>
      <c r="J91" s="73"/>
      <c r="K91" s="67"/>
      <c r="L91" s="67"/>
    </row>
    <row r="92" spans="2:12" ht="15.75" x14ac:dyDescent="0.25">
      <c r="E92" s="65"/>
      <c r="F92" s="65"/>
      <c r="G92" s="65"/>
      <c r="H92" s="65"/>
      <c r="J92" s="73"/>
    </row>
    <row r="93" spans="2:12" ht="15.75" x14ac:dyDescent="0.25">
      <c r="E93" s="65"/>
      <c r="F93" s="65"/>
      <c r="G93" s="65"/>
      <c r="H93" s="65"/>
      <c r="J93" s="73"/>
    </row>
  </sheetData>
  <mergeCells count="60">
    <mergeCell ref="K29:L29"/>
    <mergeCell ref="G19:H19"/>
    <mergeCell ref="G20:H20"/>
    <mergeCell ref="G21:H21"/>
    <mergeCell ref="B3:E3"/>
    <mergeCell ref="C5:E5"/>
    <mergeCell ref="C4:E4"/>
    <mergeCell ref="D13:E13"/>
    <mergeCell ref="D14:E14"/>
    <mergeCell ref="C10:E10"/>
    <mergeCell ref="C18:D18"/>
    <mergeCell ref="B11:E11"/>
    <mergeCell ref="C12:E12"/>
    <mergeCell ref="C22:D22"/>
    <mergeCell ref="C23:D23"/>
    <mergeCell ref="I23:K23"/>
    <mergeCell ref="G15:H15"/>
    <mergeCell ref="E16:J16"/>
    <mergeCell ref="P18:R18"/>
    <mergeCell ref="P6:R6"/>
    <mergeCell ref="G5:H5"/>
    <mergeCell ref="G6:H6"/>
    <mergeCell ref="G7:H7"/>
    <mergeCell ref="G8:H8"/>
    <mergeCell ref="J5:K5"/>
    <mergeCell ref="J6:K6"/>
    <mergeCell ref="J7:K7"/>
    <mergeCell ref="J8:K8"/>
    <mergeCell ref="G23:H23"/>
    <mergeCell ref="G24:H24"/>
    <mergeCell ref="O2:R2"/>
    <mergeCell ref="P4:R4"/>
    <mergeCell ref="P3:R3"/>
    <mergeCell ref="P5:R5"/>
    <mergeCell ref="H18:L18"/>
    <mergeCell ref="I3:L4"/>
    <mergeCell ref="G3:H4"/>
    <mergeCell ref="H10:L10"/>
    <mergeCell ref="G9:H9"/>
    <mergeCell ref="G11:H11"/>
    <mergeCell ref="G12:H12"/>
    <mergeCell ref="G13:H13"/>
    <mergeCell ref="G14:H14"/>
    <mergeCell ref="J9:K9"/>
    <mergeCell ref="C21:D21"/>
    <mergeCell ref="D20:E20"/>
    <mergeCell ref="C19:E19"/>
    <mergeCell ref="N21:O22"/>
    <mergeCell ref="I22:K22"/>
    <mergeCell ref="I21:K21"/>
    <mergeCell ref="I19:L19"/>
    <mergeCell ref="K20:L20"/>
    <mergeCell ref="N19:O20"/>
    <mergeCell ref="G22:H22"/>
    <mergeCell ref="N25:O26"/>
    <mergeCell ref="P25:T26"/>
    <mergeCell ref="P19:T20"/>
    <mergeCell ref="P21:T22"/>
    <mergeCell ref="P23:T24"/>
    <mergeCell ref="N23:O24"/>
  </mergeCells>
  <phoneticPr fontId="5" type="noConversion"/>
  <conditionalFormatting sqref="E21:E22">
    <cfRule type="iconSet" priority="29">
      <iconSet iconSet="3Symbols2" showValue="0">
        <cfvo type="percent" val="0"/>
        <cfvo type="num" val="0"/>
        <cfvo type="num" val="100"/>
      </iconSet>
    </cfRule>
  </conditionalFormatting>
  <conditionalFormatting sqref="E23">
    <cfRule type="containsText" dxfId="8" priority="8" operator="containsText" text="Sent">
      <formula>NOT(ISERROR(SEARCH("Sent",E23)))</formula>
    </cfRule>
    <cfRule type="containsText" dxfId="7" priority="9" operator="containsText" text="Approved">
      <formula>NOT(ISERROR(SEARCH("Approved",E23)))</formula>
    </cfRule>
    <cfRule type="containsText" dxfId="6" priority="10" operator="containsText" text="Not sent">
      <formula>NOT(ISERROR(SEARCH("Not sent",E23)))</formula>
    </cfRule>
  </conditionalFormatting>
  <conditionalFormatting sqref="L6:L8">
    <cfRule type="cellIs" dxfId="5" priority="1" operator="lessThan">
      <formula>0</formula>
    </cfRule>
    <cfRule type="cellIs" dxfId="4" priority="2" operator="greaterThanOrEqual">
      <formula>30</formula>
    </cfRule>
    <cfRule type="cellIs" dxfId="3" priority="3" operator="between">
      <formula>30</formula>
      <formula>0</formula>
    </cfRule>
  </conditionalFormatting>
  <conditionalFormatting sqref="L21:L22">
    <cfRule type="iconSet" priority="7">
      <iconSet iconSet="3Symbols2" showValue="0">
        <cfvo type="percent" val="0"/>
        <cfvo type="num" val="0"/>
        <cfvo type="num" val="100"/>
      </iconSet>
    </cfRule>
  </conditionalFormatting>
  <conditionalFormatting sqref="L23">
    <cfRule type="containsText" dxfId="2" priority="4" operator="containsText" text="Sent">
      <formula>NOT(ISERROR(SEARCH("Sent",L23)))</formula>
    </cfRule>
    <cfRule type="containsText" dxfId="1" priority="5" operator="containsText" text="Approved">
      <formula>NOT(ISERROR(SEARCH("Approved",L23)))</formula>
    </cfRule>
    <cfRule type="containsText" dxfId="0" priority="6" operator="containsText" text="Not sent">
      <formula>NOT(ISERROR(SEARCH("Not sent",L23)))</formula>
    </cfRule>
  </conditionalFormatting>
  <pageMargins left="0.70866141732283505" right="0.70866141732283505" top="0.74803149606299202" bottom="0.74803149606299202" header="0.31496062992126" footer="0.31496062992126"/>
  <pageSetup paperSize="9" scale="59" fitToHeight="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4" r:id="rId4" name="Check Box 100">
              <controlPr defaultSize="0" autoFill="0" autoLine="0" autoPict="0">
                <anchor moveWithCells="1">
                  <from>
                    <xdr:col>8</xdr:col>
                    <xdr:colOff>285750</xdr:colOff>
                    <xdr:row>4</xdr:row>
                    <xdr:rowOff>104775</xdr:rowOff>
                  </from>
                  <to>
                    <xdr:col>8</xdr:col>
                    <xdr:colOff>781050</xdr:colOff>
                    <xdr:row>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5" name="Check Box 102">
              <controlPr defaultSize="0" autoFill="0" autoLine="0" autoPict="0">
                <anchor moveWithCells="1">
                  <from>
                    <xdr:col>8</xdr:col>
                    <xdr:colOff>285750</xdr:colOff>
                    <xdr:row>5</xdr:row>
                    <xdr:rowOff>104775</xdr:rowOff>
                  </from>
                  <to>
                    <xdr:col>8</xdr:col>
                    <xdr:colOff>781050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6" name="Check Box 104">
              <controlPr defaultSize="0" autoFill="0" autoLine="0" autoPict="0">
                <anchor moveWithCells="1">
                  <from>
                    <xdr:col>8</xdr:col>
                    <xdr:colOff>285750</xdr:colOff>
                    <xdr:row>6</xdr:row>
                    <xdr:rowOff>114300</xdr:rowOff>
                  </from>
                  <to>
                    <xdr:col>8</xdr:col>
                    <xdr:colOff>781050</xdr:colOff>
                    <xdr:row>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" name="Check Box 130">
              <controlPr defaultSize="0" autoFill="0" autoLine="0" autoPict="0">
                <anchor moveWithCells="1">
                  <from>
                    <xdr:col>8</xdr:col>
                    <xdr:colOff>285750</xdr:colOff>
                    <xdr:row>7</xdr:row>
                    <xdr:rowOff>114300</xdr:rowOff>
                  </from>
                  <to>
                    <xdr:col>8</xdr:col>
                    <xdr:colOff>781050</xdr:colOff>
                    <xdr:row>9</xdr:row>
                    <xdr:rowOff>123825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8599BC70-ACBE-434D-8B30-AC7F78CCA12E}">
          <x14:formula1>
            <xm:f>Sheet2!$J$4:$J$12</xm:f>
          </x14:formula1>
          <xm:sqref>P6:R6</xm:sqref>
        </x14:dataValidation>
        <x14:dataValidation type="list" allowBlank="1" showInputMessage="1" showErrorMessage="1" xr:uid="{9EC9F263-4572-41BC-BD1B-3C806F97246F}">
          <x14:formula1>
            <xm:f>Sheet2!$I$4:$I$13</xm:f>
          </x14:formula1>
          <xm:sqref>P4:R4</xm:sqref>
        </x14:dataValidation>
        <x14:dataValidation type="list" allowBlank="1" showInputMessage="1" showErrorMessage="1" xr:uid="{C8BE15B2-3B28-4E81-B22F-C5CEB1A9284D}">
          <x14:formula1>
            <xm:f>Sheet2!$L$4:$L$5</xm:f>
          </x14:formula1>
          <xm:sqref>E6</xm:sqref>
        </x14:dataValidation>
        <x14:dataValidation type="list" allowBlank="1" showInputMessage="1" showErrorMessage="1" xr:uid="{2DCDA899-6CEB-4F0A-843E-3BF57FD00FCB}">
          <x14:formula1>
            <xm:f>Sheet2!$H$15:$H$19</xm:f>
          </x14:formula1>
          <xm:sqref>N19 N21</xm:sqref>
        </x14:dataValidation>
        <x14:dataValidation type="list" allowBlank="1" showInputMessage="1" showErrorMessage="1" xr:uid="{D2AEE268-A26B-49DA-91C3-43E976E86971}">
          <x14:formula1>
            <xm:f>Sheet2!$M$10:$M$16</xm:f>
          </x14:formula1>
          <xm:sqref>G11:G15 F10</xm:sqref>
        </x14:dataValidation>
        <x14:dataValidation type="list" allowBlank="1" showInputMessage="1" showErrorMessage="1" xr:uid="{70FF2412-569E-42B3-A22B-026AC49F427E}">
          <x14:formula1>
            <xm:f>Sheet2!$P$3:$P$8</xm:f>
          </x14:formula1>
          <xm:sqref>B3</xm:sqref>
        </x14:dataValidation>
        <x14:dataValidation type="list" allowBlank="1" showInputMessage="1" showErrorMessage="1" xr:uid="{7E3D7BA0-122C-4A40-9D72-96474EF25758}">
          <x14:formula1>
            <xm:f>Sheet2!$H$6:$H$7</xm:f>
          </x14:formula1>
          <xm:sqref>D7</xm:sqref>
        </x14:dataValidation>
        <x14:dataValidation type="list" allowBlank="1" showInputMessage="1" showErrorMessage="1" xr:uid="{A797912D-9E56-4B0C-BA1C-848FAC254588}">
          <x14:formula1>
            <xm:f>Sheet2!$K$15:$K$17</xm:f>
          </x14:formula1>
          <xm:sqref>C20 E15 C15 I20</xm:sqref>
        </x14:dataValidation>
        <x14:dataValidation type="list" allowBlank="1" showInputMessage="1" showErrorMessage="1" xr:uid="{CFB7FAA0-6CD4-421A-BB22-202A8E317BD8}">
          <x14:formula1>
            <xm:f>Sheet2!$E$3:$E$4</xm:f>
          </x14:formula1>
          <xm:sqref>C18:D18</xm:sqref>
        </x14:dataValidation>
        <x14:dataValidation type="list" allowBlank="1" showInputMessage="1" showErrorMessage="1" xr:uid="{2C5C964D-2D67-4586-9381-5B567BA18BAB}">
          <x14:formula1>
            <xm:f>Sheet2!$P$15:$P$21</xm:f>
          </x14:formula1>
          <xm:sqref>C19 I19:K19</xm:sqref>
        </x14:dataValidation>
        <x14:dataValidation type="list" allowBlank="1" showInputMessage="1" showErrorMessage="1" xr:uid="{14BC6148-E34E-4733-B61A-051E4E0D2C83}">
          <x14:formula1>
            <xm:f>Sheet2!$S$2:$S$9</xm:f>
          </x14:formula1>
          <xm:sqref>D20 J20:K20</xm:sqref>
        </x14:dataValidation>
        <x14:dataValidation type="list" allowBlank="1" showInputMessage="1" showErrorMessage="1" xr:uid="{F50975F7-3988-494F-BE02-344190D96876}">
          <x14:formula1>
            <xm:f>Sheet2!$C$19:$C$22</xm:f>
          </x14:formula1>
          <xm:sqref>L23 E23</xm:sqref>
        </x14:dataValidation>
        <x14:dataValidation type="list" allowBlank="1" showInputMessage="1" showErrorMessage="1" xr:uid="{F67DE0F7-FCB5-4C0C-9D83-67E5059262AC}">
          <x14:formula1>
            <xm:f>Sheet2!$H$3:$H$4</xm:f>
          </x14:formula1>
          <xm:sqref>F3:G3</xm:sqref>
        </x14:dataValidation>
        <x14:dataValidation type="list" allowBlank="1" showInputMessage="1" showErrorMessage="1" xr:uid="{8CBB5E7E-D900-44EA-A9A9-F4B45C83931F}">
          <x14:formula1>
            <xm:f>Sheet2!$H$8:$H$10</xm:f>
          </x14:formula1>
          <xm:sqref>T9:T15 P9:P15 J11:J15</xm:sqref>
        </x14:dataValidation>
        <x14:dataValidation type="list" allowBlank="1" showInputMessage="1" showErrorMessage="1" xr:uid="{72BA6DF8-37E3-48F9-A415-6EB4BFA06AC7}">
          <x14:formula1>
            <xm:f>Sheet2!$K$4:$K$9</xm:f>
          </x14:formula1>
          <xm:sqref>C7</xm:sqref>
        </x14:dataValidation>
        <x14:dataValidation type="list" allowBlank="1" showInputMessage="1" showErrorMessage="1" xr:uid="{2EFF4CCA-8CDA-4DBB-8281-B81327EFAA06}">
          <x14:formula1>
            <xm:f>Sheet2!$F$8:$F$13</xm:f>
          </x14:formula1>
          <xm:sqref>C13:C14</xm:sqref>
        </x14:dataValidation>
        <x14:dataValidation type="list" allowBlank="1" showInputMessage="1" showErrorMessage="1" xr:uid="{CF4D6313-76FA-4479-9C09-938FF10BC0BD}">
          <x14:formula1>
            <xm:f>Sheet2!$H$12:$H$13</xm:f>
          </x14:formula1>
          <xm:sqref>B4</xm:sqref>
        </x14:dataValidation>
        <x14:dataValidation type="list" allowBlank="1" showInputMessage="1" showErrorMessage="1" xr:uid="{4EF38BAA-9460-41DB-A53E-499D860F04D3}">
          <x14:formula1>
            <xm:f>Sheet2!$H$8:$H$11</xm:f>
          </x14:formula1>
          <xm:sqref>L11:L15 P16 T16</xm:sqref>
        </x14:dataValidation>
        <x14:dataValidation type="list" allowBlank="1" showInputMessage="1" showErrorMessage="1" xr:uid="{F90CC690-D354-46A3-92AE-3566B68EB6B1}">
          <x14:formula1>
            <xm:f>Sheet2!$H$15:$H$21</xm:f>
          </x14:formula1>
          <xm:sqref>N23:O26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4EDE-BBF7-49AC-9BCE-651663F080F7}">
  <dimension ref="E14:H21"/>
  <sheetViews>
    <sheetView workbookViewId="0">
      <selection activeCell="J14" sqref="J14"/>
    </sheetView>
  </sheetViews>
  <sheetFormatPr baseColWidth="10" defaultRowHeight="15" x14ac:dyDescent="0.25"/>
  <cols>
    <col min="5" max="5" width="5.140625" bestFit="1" customWidth="1"/>
    <col min="6" max="6" width="15.5703125" bestFit="1" customWidth="1"/>
    <col min="8" max="8" width="14.42578125" bestFit="1" customWidth="1"/>
  </cols>
  <sheetData>
    <row r="14" spans="5:8" ht="34.5" customHeight="1" x14ac:dyDescent="0.25">
      <c r="E14" s="70" t="s">
        <v>127</v>
      </c>
      <c r="F14" s="70" t="s">
        <v>128</v>
      </c>
      <c r="G14" s="70" t="s">
        <v>140</v>
      </c>
      <c r="H14" s="70" t="s">
        <v>141</v>
      </c>
    </row>
    <row r="15" spans="5:8" x14ac:dyDescent="0.25">
      <c r="E15" s="68">
        <v>1</v>
      </c>
      <c r="F15" s="69" t="s">
        <v>119</v>
      </c>
      <c r="G15" s="68" t="s">
        <v>133</v>
      </c>
      <c r="H15" s="72" t="s">
        <v>142</v>
      </c>
    </row>
    <row r="16" spans="5:8" x14ac:dyDescent="0.25">
      <c r="E16" s="68">
        <v>2</v>
      </c>
      <c r="F16" s="69" t="s">
        <v>129</v>
      </c>
      <c r="G16" s="68" t="s">
        <v>134</v>
      </c>
      <c r="H16" s="72" t="s">
        <v>142</v>
      </c>
    </row>
    <row r="17" spans="5:8" x14ac:dyDescent="0.25">
      <c r="E17" s="68">
        <v>3</v>
      </c>
      <c r="F17" s="69" t="s">
        <v>130</v>
      </c>
      <c r="G17" s="68" t="s">
        <v>135</v>
      </c>
      <c r="H17" s="72" t="s">
        <v>142</v>
      </c>
    </row>
    <row r="18" spans="5:8" x14ac:dyDescent="0.25">
      <c r="E18" s="68">
        <v>4</v>
      </c>
      <c r="F18" s="69" t="s">
        <v>121</v>
      </c>
      <c r="G18" s="68" t="s">
        <v>136</v>
      </c>
      <c r="H18" s="72" t="s">
        <v>142</v>
      </c>
    </row>
    <row r="19" spans="5:8" x14ac:dyDescent="0.25">
      <c r="E19" s="68">
        <v>5</v>
      </c>
      <c r="F19" s="69" t="s">
        <v>131</v>
      </c>
      <c r="G19" s="68" t="s">
        <v>137</v>
      </c>
      <c r="H19" s="71" t="s">
        <v>143</v>
      </c>
    </row>
    <row r="20" spans="5:8" x14ac:dyDescent="0.25">
      <c r="E20" s="68">
        <v>6</v>
      </c>
      <c r="F20" s="69" t="s">
        <v>132</v>
      </c>
      <c r="G20" s="68" t="s">
        <v>138</v>
      </c>
      <c r="H20" s="71" t="s">
        <v>143</v>
      </c>
    </row>
    <row r="21" spans="5:8" x14ac:dyDescent="0.25">
      <c r="E21" s="68">
        <v>7</v>
      </c>
      <c r="F21" s="69" t="s">
        <v>118</v>
      </c>
      <c r="G21" s="68" t="s">
        <v>139</v>
      </c>
      <c r="H21" s="71" t="s">
        <v>143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8CE0-635D-4ECF-9E75-02C925F0DC3A}">
  <sheetPr codeName="Sheet2"/>
  <dimension ref="B2:S22"/>
  <sheetViews>
    <sheetView workbookViewId="0">
      <selection activeCell="I12" sqref="I12"/>
    </sheetView>
  </sheetViews>
  <sheetFormatPr baseColWidth="10" defaultColWidth="9.140625" defaultRowHeight="15" x14ac:dyDescent="0.25"/>
  <cols>
    <col min="2" max="2" width="10.7109375" bestFit="1" customWidth="1"/>
    <col min="3" max="3" width="13" bestFit="1" customWidth="1"/>
    <col min="6" max="6" width="12.7109375" customWidth="1"/>
    <col min="7" max="7" width="10.7109375" bestFit="1" customWidth="1"/>
    <col min="9" max="9" width="14.7109375" customWidth="1"/>
    <col min="10" max="10" width="29.85546875" customWidth="1"/>
  </cols>
  <sheetData>
    <row r="2" spans="2:19" x14ac:dyDescent="0.25">
      <c r="B2" t="s">
        <v>66</v>
      </c>
      <c r="S2" t="s">
        <v>67</v>
      </c>
    </row>
    <row r="3" spans="2:19" x14ac:dyDescent="0.25">
      <c r="B3" s="6">
        <f ca="1">TODAY()</f>
        <v>46139</v>
      </c>
      <c r="E3" t="s">
        <v>55</v>
      </c>
      <c r="H3" t="s">
        <v>2</v>
      </c>
      <c r="I3" t="s">
        <v>68</v>
      </c>
      <c r="J3" t="s">
        <v>69</v>
      </c>
      <c r="K3" t="s">
        <v>17</v>
      </c>
      <c r="L3" t="s">
        <v>13</v>
      </c>
      <c r="P3" t="s">
        <v>70</v>
      </c>
      <c r="S3" t="s">
        <v>71</v>
      </c>
    </row>
    <row r="4" spans="2:19" x14ac:dyDescent="0.25">
      <c r="E4" t="s">
        <v>72</v>
      </c>
      <c r="H4" t="s">
        <v>73</v>
      </c>
      <c r="I4" t="s">
        <v>74</v>
      </c>
      <c r="K4" t="s">
        <v>75</v>
      </c>
      <c r="L4" t="s">
        <v>14</v>
      </c>
      <c r="P4" t="s">
        <v>76</v>
      </c>
      <c r="S4" t="s">
        <v>77</v>
      </c>
    </row>
    <row r="5" spans="2:19" x14ac:dyDescent="0.25">
      <c r="I5" t="s">
        <v>78</v>
      </c>
      <c r="J5" t="s">
        <v>123</v>
      </c>
      <c r="K5" t="s">
        <v>79</v>
      </c>
      <c r="L5" t="s">
        <v>80</v>
      </c>
      <c r="P5" t="s">
        <v>24</v>
      </c>
      <c r="S5" t="s">
        <v>81</v>
      </c>
    </row>
    <row r="6" spans="2:19" x14ac:dyDescent="0.25">
      <c r="H6" t="s">
        <v>19</v>
      </c>
      <c r="I6" t="s">
        <v>82</v>
      </c>
      <c r="J6" t="s">
        <v>16</v>
      </c>
      <c r="K6" t="s">
        <v>83</v>
      </c>
      <c r="P6" t="s">
        <v>1</v>
      </c>
      <c r="S6" t="s">
        <v>84</v>
      </c>
    </row>
    <row r="7" spans="2:19" x14ac:dyDescent="0.25">
      <c r="H7" t="s">
        <v>85</v>
      </c>
      <c r="I7" t="s">
        <v>86</v>
      </c>
      <c r="J7" t="s">
        <v>87</v>
      </c>
      <c r="K7" t="s">
        <v>88</v>
      </c>
      <c r="P7" t="s">
        <v>89</v>
      </c>
      <c r="S7" t="s">
        <v>90</v>
      </c>
    </row>
    <row r="8" spans="2:19" x14ac:dyDescent="0.25">
      <c r="F8">
        <v>1</v>
      </c>
      <c r="H8" t="s">
        <v>91</v>
      </c>
      <c r="I8" t="s">
        <v>92</v>
      </c>
      <c r="K8" t="s">
        <v>93</v>
      </c>
      <c r="P8" t="s">
        <v>94</v>
      </c>
      <c r="S8" t="s">
        <v>95</v>
      </c>
    </row>
    <row r="9" spans="2:19" x14ac:dyDescent="0.25">
      <c r="F9">
        <v>2</v>
      </c>
      <c r="H9" t="s">
        <v>30</v>
      </c>
      <c r="I9" t="s">
        <v>5</v>
      </c>
      <c r="K9" t="s">
        <v>18</v>
      </c>
      <c r="S9" t="s">
        <v>60</v>
      </c>
    </row>
    <row r="10" spans="2:19" x14ac:dyDescent="0.25">
      <c r="F10">
        <v>3</v>
      </c>
      <c r="H10" t="s">
        <v>96</v>
      </c>
      <c r="I10" t="s">
        <v>97</v>
      </c>
      <c r="M10" t="s">
        <v>98</v>
      </c>
    </row>
    <row r="11" spans="2:19" x14ac:dyDescent="0.25">
      <c r="C11" s="4">
        <v>45456</v>
      </c>
      <c r="F11">
        <v>4</v>
      </c>
      <c r="H11" t="s">
        <v>37</v>
      </c>
      <c r="I11" t="s">
        <v>99</v>
      </c>
      <c r="M11" s="2" t="s">
        <v>36</v>
      </c>
    </row>
    <row r="12" spans="2:19" x14ac:dyDescent="0.25">
      <c r="C12">
        <v>0</v>
      </c>
      <c r="F12">
        <v>5</v>
      </c>
      <c r="H12" t="s">
        <v>4</v>
      </c>
      <c r="I12" t="s">
        <v>124</v>
      </c>
      <c r="M12" s="2" t="s">
        <v>40</v>
      </c>
    </row>
    <row r="13" spans="2:19" x14ac:dyDescent="0.25">
      <c r="C13">
        <v>10</v>
      </c>
      <c r="F13">
        <v>7</v>
      </c>
      <c r="H13" t="s">
        <v>100</v>
      </c>
      <c r="I13" t="s">
        <v>114</v>
      </c>
      <c r="M13" s="2" t="s">
        <v>43</v>
      </c>
    </row>
    <row r="14" spans="2:19" x14ac:dyDescent="0.25">
      <c r="M14" s="2" t="s">
        <v>46</v>
      </c>
    </row>
    <row r="15" spans="2:19" x14ac:dyDescent="0.25">
      <c r="F15" t="s">
        <v>101</v>
      </c>
      <c r="H15" t="s">
        <v>102</v>
      </c>
      <c r="K15" s="1" t="s">
        <v>49</v>
      </c>
      <c r="M15" s="2" t="s">
        <v>51</v>
      </c>
      <c r="P15" t="s">
        <v>103</v>
      </c>
    </row>
    <row r="16" spans="2:19" x14ac:dyDescent="0.25">
      <c r="F16" t="s">
        <v>104</v>
      </c>
      <c r="H16" t="s">
        <v>105</v>
      </c>
      <c r="K16" s="1" t="s">
        <v>106</v>
      </c>
      <c r="M16" s="2" t="s">
        <v>31</v>
      </c>
      <c r="P16" t="s">
        <v>107</v>
      </c>
    </row>
    <row r="17" spans="3:16" x14ac:dyDescent="0.25">
      <c r="H17" t="s">
        <v>108</v>
      </c>
      <c r="K17" s="1" t="s">
        <v>31</v>
      </c>
      <c r="P17" t="s">
        <v>109</v>
      </c>
    </row>
    <row r="18" spans="3:16" x14ac:dyDescent="0.25">
      <c r="H18" t="s">
        <v>59</v>
      </c>
      <c r="P18" t="s">
        <v>110</v>
      </c>
    </row>
    <row r="19" spans="3:16" x14ac:dyDescent="0.25">
      <c r="C19" t="s">
        <v>62</v>
      </c>
      <c r="H19" t="s">
        <v>61</v>
      </c>
      <c r="P19" t="s">
        <v>111</v>
      </c>
    </row>
    <row r="20" spans="3:16" x14ac:dyDescent="0.25">
      <c r="C20" t="s">
        <v>63</v>
      </c>
      <c r="H20" t="s">
        <v>64</v>
      </c>
      <c r="P20" t="s">
        <v>112</v>
      </c>
    </row>
    <row r="21" spans="3:16" x14ac:dyDescent="0.25">
      <c r="C21" t="s">
        <v>113</v>
      </c>
      <c r="G21" s="4">
        <v>1</v>
      </c>
      <c r="P21" t="s">
        <v>58</v>
      </c>
    </row>
    <row r="22" spans="3:16" x14ac:dyDescent="0.25">
      <c r="G22" s="4">
        <v>47118</v>
      </c>
    </row>
  </sheetData>
  <conditionalFormatting sqref="C11:C13">
    <cfRule type="iconSet" priority="1">
      <iconSet iconSet="3Symbols2">
        <cfvo type="percent" val="0"/>
        <cfvo type="num" val="50"/>
        <cfvo type="num" val="100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3357475513C148BF0A1EC8E90D5A8E" ma:contentTypeVersion="12" ma:contentTypeDescription="Create a new document." ma:contentTypeScope="" ma:versionID="d5840860b8fee3703a1819cb8b8ff4a4">
  <xsd:schema xmlns:xsd="http://www.w3.org/2001/XMLSchema" xmlns:xs="http://www.w3.org/2001/XMLSchema" xmlns:p="http://schemas.microsoft.com/office/2006/metadata/properties" xmlns:ns2="da443b4e-f548-4025-8495-132125d20311" xmlns:ns3="40052151-59a0-4427-b4bc-f43b6e85a173" targetNamespace="http://schemas.microsoft.com/office/2006/metadata/properties" ma:root="true" ma:fieldsID="857b54369ff80b27cec42ab1a5259e8f" ns2:_="" ns3:_="">
    <xsd:import namespace="da443b4e-f548-4025-8495-132125d20311"/>
    <xsd:import namespace="40052151-59a0-4427-b4bc-f43b6e85a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43b4e-f548-4025-8495-132125d20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52151-59a0-4427-b4bc-f43b6e85a1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adab92-81ea-4d10-bb36-ae0efe3b52dd}" ma:internalName="TaxCatchAll" ma:showField="CatchAllData" ma:web="40052151-59a0-4427-b4bc-f43b6e85a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052151-59a0-4427-b4bc-f43b6e85a173" xsi:nil="true"/>
    <lcf76f155ced4ddcb4097134ff3c332f xmlns="da443b4e-f548-4025-8495-132125d203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F9118E-B4E8-42E6-84D5-DE00861EB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D2747D-AA19-4C39-8A14-E437300F1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443b4e-f548-4025-8495-132125d20311"/>
    <ds:schemaRef ds:uri="40052151-59a0-4427-b4bc-f43b6e85a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F088B1-2A42-4477-A8C0-3BC2CDA4F9F0}">
  <ds:schemaRefs>
    <ds:schemaRef ds:uri="http://schemas.microsoft.com/office/2006/metadata/properties"/>
    <ds:schemaRef ds:uri="http://schemas.microsoft.com/office/infopath/2007/PartnerControls"/>
    <ds:schemaRef ds:uri="40052151-59a0-4427-b4bc-f43b6e85a173"/>
    <ds:schemaRef ds:uri="da443b4e-f548-4025-8495-132125d20311"/>
  </ds:schemaRefs>
</ds:datastoreItem>
</file>

<file path=docMetadata/LabelInfo.xml><?xml version="1.0" encoding="utf-8"?>
<clbl:labelList xmlns:clbl="http://schemas.microsoft.com/office/2020/mipLabelMetadata">
  <clbl:label id="{329e91b0-e21f-48fb-a071-456717ecc28e}" enabled="0" method="" siteId="{329e91b0-e21f-48fb-a071-456717ecc2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Sheet2</vt:lpstr>
    </vt:vector>
  </TitlesOfParts>
  <Manager/>
  <Company>TotalEnergies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GALLY</dc:creator>
  <cp:keywords/>
  <dc:description/>
  <cp:lastModifiedBy>Bárbara ÁLVAREZ OYARZO</cp:lastModifiedBy>
  <cp:revision/>
  <cp:lastPrinted>2026-04-27T12:45:43Z</cp:lastPrinted>
  <dcterms:created xsi:type="dcterms:W3CDTF">2024-04-21T03:27:42Z</dcterms:created>
  <dcterms:modified xsi:type="dcterms:W3CDTF">2026-04-27T13:25:15Z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0x010100BB3357475513C148BF0A1EC8E90D5A8E</vt:lpwstr>
  </property>
  <property fmtid="{D5CDD505-2E9C-101B-9397-08002B2CF9AE}" pid="3" name="MediaServiceImageTags">
    <vt:lpwstr/>
  </property>
</Properties>
</file>